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C:\Users\SOHAM\Downloads\"/>
    </mc:Choice>
  </mc:AlternateContent>
  <xr:revisionPtr revIDLastSave="0" documentId="8_{D34237B5-0AD0-459C-A7C1-139329DEAD4F}" xr6:coauthVersionLast="47" xr6:coauthVersionMax="47" xr10:uidLastSave="{00000000-0000-0000-0000-000000000000}"/>
  <bookViews>
    <workbookView xWindow="-108" yWindow="-108" windowWidth="23256" windowHeight="12456" tabRatio="835" firstSheet="1" activeTab="5" xr2:uid="{F805542D-F769-46AE-B574-3B882F7CCCB5}"/>
  </bookViews>
  <sheets>
    <sheet name="monthly_revenue (2)" sheetId="11" r:id="rId1"/>
    <sheet name="Sheet1" sheetId="1" r:id="rId2"/>
    <sheet name="product_performance" sheetId="7" r:id="rId3"/>
    <sheet name="customer_insights" sheetId="8" r:id="rId4"/>
    <sheet name="branch_performance" sheetId="10" r:id="rId5"/>
    <sheet name="Dashboard_Overview" sheetId="2" r:id="rId6"/>
    <sheet name="Sheet3" sheetId="3" r:id="rId7"/>
    <sheet name="Sheet4" sheetId="4" r:id="rId8"/>
    <sheet name="Sheet5" sheetId="5" r:id="rId9"/>
    <sheet name="Sheet6" sheetId="6" r:id="rId10"/>
  </sheets>
  <definedNames>
    <definedName name="ExternalData_1" localSheetId="4" hidden="1">branch_performance!$A$1:$E$4</definedName>
    <definedName name="ExternalData_1" localSheetId="3" hidden="1">'customer_insights'!$A$1:$D$5</definedName>
    <definedName name="ExternalData_1" localSheetId="0" hidden="1">'monthly_revenue (2)'!$A$1:$B$4</definedName>
    <definedName name="ExternalData_1" localSheetId="2" hidden="1">product_performance!$A$1:$D$7</definedName>
    <definedName name="Slicer_product_line">#N/A</definedName>
  </definedNames>
  <calcPr calcId="191029"/>
  <extLs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11"/>
      </x15:slicerCache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6" i="2" l="1"/>
  <c r="F6" i="2"/>
  <c r="D6" i="2"/>
  <c r="B6" i="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A72AA49A-BD64-4AAB-B3E4-C9ADAE60D8C1}" keepAlive="1" name="Query - branch_performance" description="Connection to the 'branch_performance' query in the workbook." type="5" refreshedVersion="8" background="1" saveData="1">
    <dbPr connection="Provider=Microsoft.Mashup.OleDb.1;Data Source=$Workbook$;Location=branch_performance;Extended Properties=&quot;&quot;" command="SELECT * FROM [branch_performance]"/>
  </connection>
  <connection id="2" xr16:uid="{2D3AC99D-F149-4E6C-9D86-CBE810760AFD}" keepAlive="1" name="Query - customer_insights" description="Connection to the 'customer_insights' query in the workbook." type="5" refreshedVersion="8" background="1" saveData="1">
    <dbPr connection="Provider=Microsoft.Mashup.OleDb.1;Data Source=$Workbook$;Location=customer_insights;Extended Properties=&quot;&quot;" command="SELECT * FROM [customer_insights]"/>
  </connection>
  <connection id="3" xr16:uid="{36BE4108-71B3-4B8D-8913-551BC98641DF}" keepAlive="1" name="Query - monthly_revenue" description="Connection to the 'monthly_revenue' query in the workbook." type="5" refreshedVersion="0" background="1">
    <dbPr connection="Provider=Microsoft.Mashup.OleDb.1;Data Source=$Workbook$;Location=monthly_revenue;Extended Properties=&quot;&quot;" command="SELECT * FROM [monthly_revenue]"/>
  </connection>
  <connection id="4" xr16:uid="{D3C19AE7-2018-48CC-BF78-B1FD58AE881E}" keepAlive="1" name="Query - monthly_revenue (2)" description="Connection to the 'monthly_revenue (2)' query in the workbook." type="5" refreshedVersion="8" background="1" saveData="1">
    <dbPr connection="Provider=Microsoft.Mashup.OleDb.1;Data Source=$Workbook$;Location=&quot;monthly_revenue (2)&quot;;Extended Properties=&quot;&quot;" command="SELECT * FROM [monthly_revenue (2)]"/>
  </connection>
  <connection id="5" xr16:uid="{38B51F68-AD75-4037-8C12-3A76408AEC4A}" keepAlive="1" name="Query - product_performance" description="Connection to the 'product_performance' query in the workbook." type="5" refreshedVersion="8" background="1" saveData="1">
    <dbPr connection="Provider=Microsoft.Mashup.OleDb.1;Data Source=$Workbook$;Location=product_performance;Extended Properties=&quot;&quot;" command="SELECT * FROM [product_performance]"/>
  </connection>
</connections>
</file>

<file path=xl/sharedStrings.xml><?xml version="1.0" encoding="utf-8"?>
<sst xmlns="http://schemas.openxmlformats.org/spreadsheetml/2006/main" count="45" uniqueCount="38">
  <si>
    <t>product_line</t>
  </si>
  <si>
    <t>units_sold</t>
  </si>
  <si>
    <t>revenue</t>
  </si>
  <si>
    <t>avg_rating</t>
  </si>
  <si>
    <t>Food and beverages</t>
  </si>
  <si>
    <t>Health and beauty</t>
  </si>
  <si>
    <t>Sports and travel</t>
  </si>
  <si>
    <t>Fashion accessories</t>
  </si>
  <si>
    <t>Home and lifestyle</t>
  </si>
  <si>
    <t>Electronic accessories</t>
  </si>
  <si>
    <t>customer_type</t>
  </si>
  <si>
    <t>gender</t>
  </si>
  <si>
    <t>transactions</t>
  </si>
  <si>
    <t>Normal</t>
  </si>
  <si>
    <t>Male</t>
  </si>
  <si>
    <t>Member</t>
  </si>
  <si>
    <t>Female</t>
  </si>
  <si>
    <t>branch</t>
  </si>
  <si>
    <t>city</t>
  </si>
  <si>
    <t>total_units_sold</t>
  </si>
  <si>
    <t>A</t>
  </si>
  <si>
    <t>Yangon</t>
  </si>
  <si>
    <t>C</t>
  </si>
  <si>
    <t>Naypyitaw</t>
  </si>
  <si>
    <t>B</t>
  </si>
  <si>
    <t>Mandalay</t>
  </si>
  <si>
    <t>total_revenue</t>
  </si>
  <si>
    <t>Walmart SaaS Sales Analytics Dashboard</t>
  </si>
  <si>
    <t>Built using SQL Views &amp; Excel Analytics</t>
  </si>
  <si>
    <t>Total Revenue</t>
  </si>
  <si>
    <t>Total Units Sold</t>
  </si>
  <si>
    <t>Average Rating</t>
  </si>
  <si>
    <t>Top Product Line</t>
  </si>
  <si>
    <t xml:space="preserve"> </t>
  </si>
  <si>
    <t>month_name</t>
  </si>
  <si>
    <t>March</t>
  </si>
  <si>
    <t>January</t>
  </si>
  <si>
    <t>February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</si>
</sst>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 #,##0.00"/>
  </numFmts>
  <fonts count="4" x14ac:knownFonts="1">
    <font>
      <sz val="11"/>
      <color theme="1"/>
      <name val="Aptos Narrow"/>
      <family val="2"/>
      <scheme val="minor"/>
    </font>
    <font>
      <b/>
      <sz val="20"/>
      <color theme="1"/>
      <name val="Aptos Narrow"/>
      <family val="2"/>
      <scheme val="minor"/>
    </font>
    <font>
      <b/>
      <sz val="11"/>
      <color theme="1" tint="0.499984740745262"/>
      <name val="Aptos Narrow"/>
      <family val="2"/>
      <scheme val="minor"/>
    </font>
    <font>
      <b/>
      <sz val="18"/>
      <color theme="1"/>
      <name val="Aptos Narrow"/>
      <family val="2"/>
      <scheme val="minor"/>
    </font>
  </fonts>
  <fills count="3">
    <fill>
      <patternFill patternType="none"/>
    </fill>
    <fill>
      <patternFill patternType="gray125"/>
    </fill>
    <fill>
      <patternFill patternType="solid">
        <fgColor theme="4" tint="0.59999389629810485"/>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5">
    <xf numFmtId="0" fontId="0" fillId="0" borderId="0" xfId="0"/>
    <xf numFmtId="0" fontId="1" fillId="0" borderId="0" xfId="0" applyFont="1"/>
    <xf numFmtId="0" fontId="2" fillId="0" borderId="0" xfId="0" applyFont="1"/>
    <xf numFmtId="164" fontId="3" fillId="2" borderId="1" xfId="0" applyNumberFormat="1" applyFont="1" applyFill="1" applyBorder="1"/>
    <xf numFmtId="0" fontId="3" fillId="2" borderId="1" xfId="0" applyFont="1" applyFill="1" applyBorder="1"/>
  </cellXfs>
  <cellStyles count="1">
    <cellStyle name="Normal" xfId="0" builtinId="0"/>
  </cellStyles>
  <dxfs count="6">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onnections" Target="connections.xml"/><Relationship Id="rId18" Type="http://schemas.openxmlformats.org/officeDocument/2006/relationships/customXml" Target="../customXml/item1.xml"/><Relationship Id="rId3" Type="http://schemas.openxmlformats.org/officeDocument/2006/relationships/worksheet" Target="worksheets/sheet3.xml"/><Relationship Id="rId21" Type="http://schemas.openxmlformats.org/officeDocument/2006/relationships/customXml" Target="../customXml/item4.xml"/><Relationship Id="rId7" Type="http://schemas.openxmlformats.org/officeDocument/2006/relationships/worksheet" Target="worksheets/sheet7.xml"/><Relationship Id="rId12" Type="http://schemas.openxmlformats.org/officeDocument/2006/relationships/theme" Target="theme/theme1.xml"/><Relationship Id="rId17" Type="http://schemas.openxmlformats.org/officeDocument/2006/relationships/calcChain" Target="calcChain.xml"/><Relationship Id="rId2" Type="http://schemas.openxmlformats.org/officeDocument/2006/relationships/worksheet" Target="worksheets/sheet2.xml"/><Relationship Id="rId16" Type="http://schemas.microsoft.com/office/2017/10/relationships/person" Target="persons/person.xml"/><Relationship Id="rId20"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Revenue by Product Line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1"/>
          <c:order val="1"/>
          <c:tx>
            <c:strRef>
              <c:f>product_performance!$C$1</c:f>
              <c:strCache>
                <c:ptCount val="1"/>
                <c:pt idx="0">
                  <c:v>revenue</c:v>
                </c:pt>
              </c:strCache>
            </c:strRef>
          </c:tx>
          <c:spPr>
            <a:solidFill>
              <a:schemeClr val="accent2"/>
            </a:solidFill>
            <a:ln>
              <a:noFill/>
            </a:ln>
            <a:effectLst/>
          </c:spPr>
          <c:invertIfNegative val="0"/>
          <c:cat>
            <c:strRef>
              <c:f>product_performance!$A$2:$A$7</c:f>
              <c:strCache>
                <c:ptCount val="6"/>
                <c:pt idx="0">
                  <c:v>Food and beverages</c:v>
                </c:pt>
                <c:pt idx="1">
                  <c:v>Health and beauty</c:v>
                </c:pt>
                <c:pt idx="2">
                  <c:v>Sports and travel</c:v>
                </c:pt>
                <c:pt idx="3">
                  <c:v>Fashion accessories</c:v>
                </c:pt>
                <c:pt idx="4">
                  <c:v>Home and lifestyle</c:v>
                </c:pt>
                <c:pt idx="5">
                  <c:v>Electronic accessories</c:v>
                </c:pt>
              </c:strCache>
            </c:strRef>
          </c:cat>
          <c:val>
            <c:numRef>
              <c:f>product_performance!$C$2:$C$7</c:f>
              <c:numCache>
                <c:formatCode>General</c:formatCode>
                <c:ptCount val="6"/>
                <c:pt idx="0">
                  <c:v>56144.84</c:v>
                </c:pt>
                <c:pt idx="1">
                  <c:v>48854.38</c:v>
                </c:pt>
                <c:pt idx="2">
                  <c:v>53936.13</c:v>
                </c:pt>
                <c:pt idx="3">
                  <c:v>54305.9</c:v>
                </c:pt>
                <c:pt idx="4">
                  <c:v>53861.91</c:v>
                </c:pt>
                <c:pt idx="5">
                  <c:v>53783.24</c:v>
                </c:pt>
              </c:numCache>
            </c:numRef>
          </c:val>
          <c:extLst>
            <c:ext xmlns:c16="http://schemas.microsoft.com/office/drawing/2014/chart" uri="{C3380CC4-5D6E-409C-BE32-E72D297353CC}">
              <c16:uniqueId val="{00000001-8AA5-4BDE-8663-86D82C098608}"/>
            </c:ext>
          </c:extLst>
        </c:ser>
        <c:dLbls>
          <c:showLegendKey val="0"/>
          <c:showVal val="0"/>
          <c:showCatName val="0"/>
          <c:showSerName val="0"/>
          <c:showPercent val="0"/>
          <c:showBubbleSize val="0"/>
        </c:dLbls>
        <c:gapWidth val="219"/>
        <c:overlap val="-27"/>
        <c:axId val="556736656"/>
        <c:axId val="556734256"/>
        <c:extLst>
          <c:ext xmlns:c15="http://schemas.microsoft.com/office/drawing/2012/chart" uri="{02D57815-91ED-43cb-92C2-25804820EDAC}">
            <c15:filteredBarSeries>
              <c15:ser>
                <c:idx val="0"/>
                <c:order val="0"/>
                <c:tx>
                  <c:strRef>
                    <c:extLst>
                      <c:ext uri="{02D57815-91ED-43cb-92C2-25804820EDAC}">
                        <c15:formulaRef>
                          <c15:sqref>product_performance!$B$1</c15:sqref>
                        </c15:formulaRef>
                      </c:ext>
                    </c:extLst>
                    <c:strCache>
                      <c:ptCount val="1"/>
                      <c:pt idx="0">
                        <c:v>units_sold</c:v>
                      </c:pt>
                    </c:strCache>
                  </c:strRef>
                </c:tx>
                <c:spPr>
                  <a:solidFill>
                    <a:schemeClr val="accent1"/>
                  </a:solidFill>
                  <a:ln>
                    <a:noFill/>
                  </a:ln>
                  <a:effectLst/>
                </c:spPr>
                <c:invertIfNegative val="0"/>
                <c:cat>
                  <c:strRef>
                    <c:extLst>
                      <c:ext uri="{02D57815-91ED-43cb-92C2-25804820EDAC}">
                        <c15:formulaRef>
                          <c15:sqref>product_performance!$A$2:$A$7</c15:sqref>
                        </c15:formulaRef>
                      </c:ext>
                    </c:extLst>
                    <c:strCache>
                      <c:ptCount val="6"/>
                      <c:pt idx="0">
                        <c:v>Food and beverages</c:v>
                      </c:pt>
                      <c:pt idx="1">
                        <c:v>Health and beauty</c:v>
                      </c:pt>
                      <c:pt idx="2">
                        <c:v>Sports and travel</c:v>
                      </c:pt>
                      <c:pt idx="3">
                        <c:v>Fashion accessories</c:v>
                      </c:pt>
                      <c:pt idx="4">
                        <c:v>Home and lifestyle</c:v>
                      </c:pt>
                      <c:pt idx="5">
                        <c:v>Electronic accessories</c:v>
                      </c:pt>
                    </c:strCache>
                  </c:strRef>
                </c:cat>
                <c:val>
                  <c:numRef>
                    <c:extLst>
                      <c:ext uri="{02D57815-91ED-43cb-92C2-25804820EDAC}">
                        <c15:formulaRef>
                          <c15:sqref>product_performance!$B$2:$B$7</c15:sqref>
                        </c15:formulaRef>
                      </c:ext>
                    </c:extLst>
                    <c:numCache>
                      <c:formatCode>General</c:formatCode>
                      <c:ptCount val="6"/>
                      <c:pt idx="0">
                        <c:v>952</c:v>
                      </c:pt>
                      <c:pt idx="1">
                        <c:v>844</c:v>
                      </c:pt>
                      <c:pt idx="2">
                        <c:v>902</c:v>
                      </c:pt>
                      <c:pt idx="3">
                        <c:v>902</c:v>
                      </c:pt>
                      <c:pt idx="4">
                        <c:v>911</c:v>
                      </c:pt>
                      <c:pt idx="5">
                        <c:v>961</c:v>
                      </c:pt>
                    </c:numCache>
                  </c:numRef>
                </c:val>
                <c:extLst>
                  <c:ext xmlns:c16="http://schemas.microsoft.com/office/drawing/2014/chart" uri="{C3380CC4-5D6E-409C-BE32-E72D297353CC}">
                    <c16:uniqueId val="{00000000-8AA5-4BDE-8663-86D82C098608}"/>
                  </c:ext>
                </c:extLst>
              </c15:ser>
            </c15:filteredBarSeries>
            <c15:filteredBarSeries>
              <c15:ser>
                <c:idx val="2"/>
                <c:order val="2"/>
                <c:tx>
                  <c:strRef>
                    <c:extLst>
                      <c:ext xmlns:c15="http://schemas.microsoft.com/office/drawing/2012/chart" uri="{02D57815-91ED-43cb-92C2-25804820EDAC}">
                        <c15:formulaRef>
                          <c15:sqref>product_performance!$D$1</c15:sqref>
                        </c15:formulaRef>
                      </c:ext>
                    </c:extLst>
                    <c:strCache>
                      <c:ptCount val="1"/>
                      <c:pt idx="0">
                        <c:v>avg_rating</c:v>
                      </c:pt>
                    </c:strCache>
                  </c:strRef>
                </c:tx>
                <c:spPr>
                  <a:solidFill>
                    <a:schemeClr val="accent3"/>
                  </a:solidFill>
                  <a:ln>
                    <a:noFill/>
                  </a:ln>
                  <a:effectLst/>
                </c:spPr>
                <c:invertIfNegative val="0"/>
                <c:cat>
                  <c:strRef>
                    <c:extLst>
                      <c:ext xmlns:c15="http://schemas.microsoft.com/office/drawing/2012/chart" uri="{02D57815-91ED-43cb-92C2-25804820EDAC}">
                        <c15:formulaRef>
                          <c15:sqref>product_performance!$A$2:$A$7</c15:sqref>
                        </c15:formulaRef>
                      </c:ext>
                    </c:extLst>
                    <c:strCache>
                      <c:ptCount val="6"/>
                      <c:pt idx="0">
                        <c:v>Food and beverages</c:v>
                      </c:pt>
                      <c:pt idx="1">
                        <c:v>Health and beauty</c:v>
                      </c:pt>
                      <c:pt idx="2">
                        <c:v>Sports and travel</c:v>
                      </c:pt>
                      <c:pt idx="3">
                        <c:v>Fashion accessories</c:v>
                      </c:pt>
                      <c:pt idx="4">
                        <c:v>Home and lifestyle</c:v>
                      </c:pt>
                      <c:pt idx="5">
                        <c:v>Electronic accessories</c:v>
                      </c:pt>
                    </c:strCache>
                  </c:strRef>
                </c:cat>
                <c:val>
                  <c:numRef>
                    <c:extLst>
                      <c:ext xmlns:c15="http://schemas.microsoft.com/office/drawing/2012/chart" uri="{02D57815-91ED-43cb-92C2-25804820EDAC}">
                        <c15:formulaRef>
                          <c15:sqref>product_performance!$D$2:$D$7</c15:sqref>
                        </c15:formulaRef>
                      </c:ext>
                    </c:extLst>
                    <c:numCache>
                      <c:formatCode>General</c:formatCode>
                      <c:ptCount val="6"/>
                      <c:pt idx="0">
                        <c:v>7.11</c:v>
                      </c:pt>
                      <c:pt idx="1">
                        <c:v>6.98</c:v>
                      </c:pt>
                      <c:pt idx="2">
                        <c:v>6.86</c:v>
                      </c:pt>
                      <c:pt idx="3">
                        <c:v>7.03</c:v>
                      </c:pt>
                      <c:pt idx="4">
                        <c:v>6.84</c:v>
                      </c:pt>
                      <c:pt idx="5">
                        <c:v>6.91</c:v>
                      </c:pt>
                    </c:numCache>
                  </c:numRef>
                </c:val>
                <c:extLst xmlns:c15="http://schemas.microsoft.com/office/drawing/2012/chart">
                  <c:ext xmlns:c16="http://schemas.microsoft.com/office/drawing/2014/chart" uri="{C3380CC4-5D6E-409C-BE32-E72D297353CC}">
                    <c16:uniqueId val="{00000002-8AA5-4BDE-8663-86D82C098608}"/>
                  </c:ext>
                </c:extLst>
              </c15:ser>
            </c15:filteredBarSeries>
          </c:ext>
        </c:extLst>
      </c:barChart>
      <c:catAx>
        <c:axId val="5567366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6734256"/>
        <c:crosses val="autoZero"/>
        <c:auto val="1"/>
        <c:lblAlgn val="ctr"/>
        <c:lblOffset val="100"/>
        <c:noMultiLvlLbl val="0"/>
      </c:catAx>
      <c:valAx>
        <c:axId val="55673425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673665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Branch-wise Revenue Performance</a:t>
            </a:r>
          </a:p>
        </c:rich>
      </c:tx>
      <c:layout>
        <c:manualLayout>
          <c:xMode val="edge"/>
          <c:yMode val="edge"/>
          <c:x val="0.14288385826771655"/>
          <c:y val="3.1141864269696718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stacked"/>
        <c:varyColors val="0"/>
        <c:ser>
          <c:idx val="0"/>
          <c:order val="0"/>
          <c:tx>
            <c:v>revenue</c:v>
          </c:tx>
          <c:spPr>
            <a:solidFill>
              <a:schemeClr val="accent1"/>
            </a:solidFill>
            <a:ln>
              <a:noFill/>
            </a:ln>
            <a:effectLst/>
          </c:spPr>
          <c:invertIfNegative val="0"/>
          <c:cat>
            <c:multiLvlStrRef>
              <c:f>branch_performance!$A$1:$B$4</c:f>
              <c:multiLvlStrCache>
                <c:ptCount val="4"/>
                <c:lvl>
                  <c:pt idx="0">
                    <c:v>city</c:v>
                  </c:pt>
                  <c:pt idx="1">
                    <c:v>Yangon</c:v>
                  </c:pt>
                  <c:pt idx="2">
                    <c:v>Naypyitaw</c:v>
                  </c:pt>
                  <c:pt idx="3">
                    <c:v>Mandalay</c:v>
                  </c:pt>
                </c:lvl>
                <c:lvl>
                  <c:pt idx="0">
                    <c:v>branch</c:v>
                  </c:pt>
                  <c:pt idx="1">
                    <c:v>A</c:v>
                  </c:pt>
                  <c:pt idx="2">
                    <c:v>C</c:v>
                  </c:pt>
                  <c:pt idx="3">
                    <c:v>B</c:v>
                  </c:pt>
                </c:lvl>
              </c:multiLvlStrCache>
            </c:multiLvlStrRef>
          </c:cat>
          <c:val>
            <c:numRef>
              <c:f>branch_performance!$C$1:$C$4</c:f>
              <c:numCache>
                <c:formatCode>General</c:formatCode>
                <c:ptCount val="4"/>
                <c:pt idx="0">
                  <c:v>0</c:v>
                </c:pt>
                <c:pt idx="1">
                  <c:v>105861.01</c:v>
                </c:pt>
                <c:pt idx="2">
                  <c:v>110490.78</c:v>
                </c:pt>
                <c:pt idx="3">
                  <c:v>104534.61</c:v>
                </c:pt>
              </c:numCache>
            </c:numRef>
          </c:val>
          <c:extLst>
            <c:ext xmlns:c16="http://schemas.microsoft.com/office/drawing/2014/chart" uri="{C3380CC4-5D6E-409C-BE32-E72D297353CC}">
              <c16:uniqueId val="{00000000-0C72-4E19-883B-E8FA181E6F08}"/>
            </c:ext>
          </c:extLst>
        </c:ser>
        <c:dLbls>
          <c:showLegendKey val="0"/>
          <c:showVal val="0"/>
          <c:showCatName val="0"/>
          <c:showSerName val="0"/>
          <c:showPercent val="0"/>
          <c:showBubbleSize val="0"/>
        </c:dLbls>
        <c:gapWidth val="150"/>
        <c:overlap val="100"/>
        <c:axId val="558292320"/>
        <c:axId val="558293280"/>
      </c:barChart>
      <c:catAx>
        <c:axId val="55829232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8293280"/>
        <c:crosses val="autoZero"/>
        <c:auto val="1"/>
        <c:lblAlgn val="ctr"/>
        <c:lblOffset val="100"/>
        <c:noMultiLvlLbl val="0"/>
      </c:catAx>
      <c:valAx>
        <c:axId val="55829328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829232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Monthly Revenue Trend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8872893015837297"/>
          <c:y val="0.2431277410379431"/>
          <c:w val="0.77784489332904316"/>
          <c:h val="0.61569177942428532"/>
        </c:manualLayout>
      </c:layout>
      <c:lineChart>
        <c:grouping val="standard"/>
        <c:varyColors val="0"/>
        <c:ser>
          <c:idx val="0"/>
          <c:order val="0"/>
          <c:tx>
            <c:strRef>
              <c:f>'monthly_revenue (2)'!$B$1</c:f>
              <c:strCache>
                <c:ptCount val="1"/>
                <c:pt idx="0">
                  <c:v>revenue</c:v>
                </c:pt>
              </c:strCache>
            </c:strRef>
          </c:tx>
          <c:spPr>
            <a:ln w="28575" cap="rnd">
              <a:solidFill>
                <a:schemeClr val="accent1"/>
              </a:solidFill>
              <a:round/>
            </a:ln>
            <a:effectLst/>
          </c:spPr>
          <c:marker>
            <c:symbol val="none"/>
          </c:marker>
          <c:cat>
            <c:strRef>
              <c:f>'monthly_revenue (2)'!$A$2:$A$4</c:f>
              <c:strCache>
                <c:ptCount val="3"/>
                <c:pt idx="0">
                  <c:v>January</c:v>
                </c:pt>
                <c:pt idx="1">
                  <c:v>February</c:v>
                </c:pt>
                <c:pt idx="2">
                  <c:v>March</c:v>
                </c:pt>
              </c:strCache>
            </c:strRef>
          </c:cat>
          <c:val>
            <c:numRef>
              <c:f>'monthly_revenue (2)'!$B$2:$B$4</c:f>
              <c:numCache>
                <c:formatCode>General</c:formatCode>
                <c:ptCount val="3"/>
                <c:pt idx="0">
                  <c:v>116291.87</c:v>
                </c:pt>
                <c:pt idx="1">
                  <c:v>95727.38</c:v>
                </c:pt>
                <c:pt idx="2">
                  <c:v>108867.15</c:v>
                </c:pt>
              </c:numCache>
            </c:numRef>
          </c:val>
          <c:smooth val="0"/>
          <c:extLst>
            <c:ext xmlns:c16="http://schemas.microsoft.com/office/drawing/2014/chart" uri="{C3380CC4-5D6E-409C-BE32-E72D297353CC}">
              <c16:uniqueId val="{00000000-AF56-4EF7-AD2F-A06C7A3A41C5}"/>
            </c:ext>
          </c:extLst>
        </c:ser>
        <c:dLbls>
          <c:showLegendKey val="0"/>
          <c:showVal val="0"/>
          <c:showCatName val="0"/>
          <c:showSerName val="0"/>
          <c:showPercent val="0"/>
          <c:showBubbleSize val="0"/>
        </c:dLbls>
        <c:smooth val="0"/>
        <c:axId val="557079808"/>
        <c:axId val="557080768"/>
      </c:lineChart>
      <c:catAx>
        <c:axId val="5570798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7080768"/>
        <c:crosses val="autoZero"/>
        <c:auto val="1"/>
        <c:lblAlgn val="ctr"/>
        <c:lblOffset val="100"/>
        <c:noMultiLvlLbl val="0"/>
      </c:catAx>
      <c:valAx>
        <c:axId val="55708076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707980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160867</xdr:colOff>
      <xdr:row>6</xdr:row>
      <xdr:rowOff>84666</xdr:rowOff>
    </xdr:from>
    <xdr:to>
      <xdr:col>2</xdr:col>
      <xdr:colOff>364068</xdr:colOff>
      <xdr:row>19</xdr:row>
      <xdr:rowOff>118533</xdr:rowOff>
    </xdr:to>
    <xdr:graphicFrame macro="">
      <xdr:nvGraphicFramePr>
        <xdr:cNvPr id="3" name="Chart 2">
          <a:extLst>
            <a:ext uri="{FF2B5EF4-FFF2-40B4-BE49-F238E27FC236}">
              <a16:creationId xmlns:a16="http://schemas.microsoft.com/office/drawing/2014/main" id="{69F5366A-BAEE-4D41-B591-868A9603E92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330200</xdr:colOff>
      <xdr:row>6</xdr:row>
      <xdr:rowOff>84666</xdr:rowOff>
    </xdr:from>
    <xdr:to>
      <xdr:col>7</xdr:col>
      <xdr:colOff>1938866</xdr:colOff>
      <xdr:row>19</xdr:row>
      <xdr:rowOff>110066</xdr:rowOff>
    </xdr:to>
    <xdr:graphicFrame macro="">
      <xdr:nvGraphicFramePr>
        <xdr:cNvPr id="5" name="Chart 4">
          <a:extLst>
            <a:ext uri="{FF2B5EF4-FFF2-40B4-BE49-F238E27FC236}">
              <a16:creationId xmlns:a16="http://schemas.microsoft.com/office/drawing/2014/main" id="{2B9333F7-A6D9-4206-9C6E-1E5A4FB8E5F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absolute">
    <xdr:from>
      <xdr:col>7</xdr:col>
      <xdr:colOff>2040466</xdr:colOff>
      <xdr:row>6</xdr:row>
      <xdr:rowOff>84667</xdr:rowOff>
    </xdr:from>
    <xdr:to>
      <xdr:col>10</xdr:col>
      <xdr:colOff>203200</xdr:colOff>
      <xdr:row>19</xdr:row>
      <xdr:rowOff>127000</xdr:rowOff>
    </xdr:to>
    <mc:AlternateContent xmlns:mc="http://schemas.openxmlformats.org/markup-compatibility/2006" xmlns:sle15="http://schemas.microsoft.com/office/drawing/2012/slicer">
      <mc:Choice Requires="sle15">
        <xdr:graphicFrame macro="">
          <xdr:nvGraphicFramePr>
            <xdr:cNvPr id="6" name="product_line">
              <a:extLst>
                <a:ext uri="{FF2B5EF4-FFF2-40B4-BE49-F238E27FC236}">
                  <a16:creationId xmlns:a16="http://schemas.microsoft.com/office/drawing/2014/main" id="{E48E9998-554F-4AB9-AE2D-F1C7EA81A98E}"/>
                </a:ext>
              </a:extLst>
            </xdr:cNvPr>
            <xdr:cNvGraphicFramePr/>
          </xdr:nvGraphicFramePr>
          <xdr:xfrm>
            <a:off x="0" y="0"/>
            <a:ext cx="0" cy="0"/>
          </xdr:xfrm>
          <a:graphic>
            <a:graphicData uri="http://schemas.microsoft.com/office/drawing/2010/slicer">
              <sle:slicer xmlns:sle="http://schemas.microsoft.com/office/drawing/2010/slicer" name="product_line"/>
            </a:graphicData>
          </a:graphic>
        </xdr:graphicFrame>
      </mc:Choice>
      <mc:Fallback xmlns="">
        <xdr:sp macro="" textlink="">
          <xdr:nvSpPr>
            <xdr:cNvPr id="0" name=""/>
            <xdr:cNvSpPr>
              <a:spLocks noTextEdit="1"/>
            </xdr:cNvSpPr>
          </xdr:nvSpPr>
          <xdr:spPr>
            <a:xfrm>
              <a:off x="10278533" y="1456267"/>
              <a:ext cx="1667934" cy="2463800"/>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xdr:from>
      <xdr:col>2</xdr:col>
      <xdr:colOff>440267</xdr:colOff>
      <xdr:row>6</xdr:row>
      <xdr:rowOff>76201</xdr:rowOff>
    </xdr:from>
    <xdr:to>
      <xdr:col>5</xdr:col>
      <xdr:colOff>228601</xdr:colOff>
      <xdr:row>19</xdr:row>
      <xdr:rowOff>127000</xdr:rowOff>
    </xdr:to>
    <xdr:graphicFrame macro="">
      <xdr:nvGraphicFramePr>
        <xdr:cNvPr id="7" name="Chart 6">
          <a:extLst>
            <a:ext uri="{FF2B5EF4-FFF2-40B4-BE49-F238E27FC236}">
              <a16:creationId xmlns:a16="http://schemas.microsoft.com/office/drawing/2014/main" id="{61C57591-3601-4B4A-A4B6-1B92BA1B1E6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oneCellAnchor>
    <xdr:from>
      <xdr:col>0</xdr:col>
      <xdr:colOff>296335</xdr:colOff>
      <xdr:row>20</xdr:row>
      <xdr:rowOff>135467</xdr:rowOff>
    </xdr:from>
    <xdr:ext cx="3987799" cy="781240"/>
    <xdr:sp macro="" textlink="">
      <xdr:nvSpPr>
        <xdr:cNvPr id="8" name="TextBox 7">
          <a:extLst>
            <a:ext uri="{FF2B5EF4-FFF2-40B4-BE49-F238E27FC236}">
              <a16:creationId xmlns:a16="http://schemas.microsoft.com/office/drawing/2014/main" id="{B1FC1997-CF1F-3D11-C676-FCB5084D0AAD}"/>
            </a:ext>
          </a:extLst>
        </xdr:cNvPr>
        <xdr:cNvSpPr txBox="1"/>
      </xdr:nvSpPr>
      <xdr:spPr>
        <a:xfrm>
          <a:off x="296335" y="4114800"/>
          <a:ext cx="3987799" cy="78124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IN" b="1"/>
            <a:t>Key Insights:</a:t>
          </a:r>
          <a:br>
            <a:rPr lang="en-IN"/>
          </a:br>
          <a:r>
            <a:rPr lang="en-IN"/>
            <a:t>• Food &amp; Beverages is the top-performing product line by revenue</a:t>
          </a:r>
          <a:br>
            <a:rPr lang="en-IN"/>
          </a:br>
          <a:r>
            <a:rPr lang="en-IN"/>
            <a:t>• Branch C contributes the highest overall revenue</a:t>
          </a:r>
          <a:br>
            <a:rPr lang="en-IN"/>
          </a:br>
          <a:r>
            <a:rPr lang="en-IN"/>
            <a:t>• Average customer rating remains consistently above 6.8</a:t>
          </a:r>
          <a:endParaRPr lang="en-IN" sz="1100"/>
        </a:p>
      </xdr:txBody>
    </xdr:sp>
    <xdr:clientData/>
  </xdr:oneCellAnchor>
</xdr:wsDr>
</file>

<file path=xl/persons/person.xml><?xml version="1.0" encoding="utf-8"?>
<personList xmlns="http://schemas.microsoft.com/office/spreadsheetml/2018/threadedcomments" xmlns:x="http://schemas.openxmlformats.org/spreadsheetml/2006/mai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4" xr16:uid="{8A95F068-4E68-468B-B4ED-C0F5AE181846}" autoFormatId="16" applyNumberFormats="0" applyBorderFormats="0" applyFontFormats="0" applyPatternFormats="0" applyAlignmentFormats="0" applyWidthHeightFormats="0">
  <queryTableRefresh nextId="3">
    <queryTableFields count="2">
      <queryTableField id="1" name="month_name" tableColumnId="1"/>
      <queryTableField id="2" name="revenue" tableColumnId="2"/>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connectionId="5" xr16:uid="{A9811079-67AF-4743-9335-A700D780B215}" autoFormatId="16" applyNumberFormats="0" applyBorderFormats="0" applyFontFormats="0" applyPatternFormats="0" applyAlignmentFormats="0" applyWidthHeightFormats="0">
  <queryTableRefresh nextId="5">
    <queryTableFields count="4">
      <queryTableField id="1" name="product_line" tableColumnId="1"/>
      <queryTableField id="2" name="units_sold" tableColumnId="2"/>
      <queryTableField id="3" name="revenue" tableColumnId="3"/>
      <queryTableField id="4" name="avg_rating" tableColumnId="4"/>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1" connectionId="2" xr16:uid="{CB2B4F89-A982-4172-B944-E05F8EDE0315}" autoFormatId="16" applyNumberFormats="0" applyBorderFormats="0" applyFontFormats="0" applyPatternFormats="0" applyAlignmentFormats="0" applyWidthHeightFormats="0">
  <queryTableRefresh nextId="5">
    <queryTableFields count="4">
      <queryTableField id="1" name="customer_type" tableColumnId="1"/>
      <queryTableField id="2" name="gender" tableColumnId="2"/>
      <queryTableField id="3" name="transactions" tableColumnId="3"/>
      <queryTableField id="4" name="revenue" tableColumnId="4"/>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1" connectionId="1" xr16:uid="{E181C1BE-E278-4F9B-8012-D963126BB953}" autoFormatId="16" applyNumberFormats="0" applyBorderFormats="0" applyFontFormats="0" applyPatternFormats="0" applyAlignmentFormats="0" applyWidthHeightFormats="0">
  <queryTableRefresh nextId="6">
    <queryTableFields count="5">
      <queryTableField id="1" name="branch" tableColumnId="1"/>
      <queryTableField id="2" name="city" tableColumnId="2"/>
      <queryTableField id="3" name="total_revenue" tableColumnId="3"/>
      <queryTableField id="4" name="total_units_sold" tableColumnId="4"/>
      <queryTableField id="5" name="avg_rating" tableColumnId="5"/>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line" xr10:uid="{5541C670-72B4-4F30-A3CA-A7F47E19B912}" sourceName="product_line">
  <extLst>
    <x:ext xmlns:x15="http://schemas.microsoft.com/office/spreadsheetml/2010/11/main" uri="{2F2917AC-EB37-4324-AD4E-5DD8C200BD13}">
      <x15:tableSlicerCache tableId="1" column="1"/>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_line" xr10:uid="{E4866E4A-128D-4002-8678-803D9313FD0E}" cache="Slicer_product_line" caption="product_line" rowHeight="2476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4BF6BF1C-E648-489F-8932-03F38BD83098}" name="monthly_revenue__2" displayName="monthly_revenue__2" ref="A1:B4" tableType="queryTable" totalsRowShown="0">
  <autoFilter ref="A1:B4" xr:uid="{4BF6BF1C-E648-489F-8932-03F38BD83098}"/>
  <sortState xmlns:xlrd2="http://schemas.microsoft.com/office/spreadsheetml/2017/richdata2" ref="A2:B4">
    <sortCondition ref="A2:A4" customList="January,February,March,April,May,June,July,August,September,October,November,December"/>
  </sortState>
  <tableColumns count="2">
    <tableColumn id="1" xr3:uid="{BFE5C1CC-C847-4DC1-8F2B-C00F2F34CDE8}" uniqueName="1" name="month_name" queryTableFieldId="1" dataDxfId="5"/>
    <tableColumn id="2" xr3:uid="{196EA36B-7B5F-4883-9FBE-202A2DB88087}" uniqueName="2" name="revenue" queryTableFieldId="2"/>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604308D-11A3-45A2-9A42-723F0F5FE9A1}" name="product_performance" displayName="product_performance" ref="A1:D7" tableType="queryTable" totalsRowShown="0">
  <autoFilter ref="A1:D7" xr:uid="{F604308D-11A3-45A2-9A42-723F0F5FE9A1}"/>
  <tableColumns count="4">
    <tableColumn id="1" xr3:uid="{155F8CFD-1DD2-4752-A095-8C15816A6D24}" uniqueName="1" name="product_line" queryTableFieldId="1" dataDxfId="4"/>
    <tableColumn id="2" xr3:uid="{B2095C34-D053-4D0C-9350-10E3D0086330}" uniqueName="2" name="units_sold" queryTableFieldId="2"/>
    <tableColumn id="3" xr3:uid="{000E3075-2217-4133-978C-AC629A0EEA4A}" uniqueName="3" name="revenue" queryTableFieldId="3"/>
    <tableColumn id="4" xr3:uid="{99BF3240-9762-4040-98A7-E28DE22C8CC2}" uniqueName="4" name="avg_rating" queryTableFieldId="4"/>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3A947C3A-22A5-4CE7-82B1-EC1D1447320A}" name="customer_insights" displayName="customer_insights" ref="A1:D5" tableType="queryTable" totalsRowShown="0">
  <autoFilter ref="A1:D5" xr:uid="{3A947C3A-22A5-4CE7-82B1-EC1D1447320A}"/>
  <tableColumns count="4">
    <tableColumn id="1" xr3:uid="{95FD5FFE-4250-474D-AF7D-09047F15D25B}" uniqueName="1" name="customer_type" queryTableFieldId="1" dataDxfId="3"/>
    <tableColumn id="2" xr3:uid="{83D526B9-9CCE-485C-8C96-0EF3026061C4}" uniqueName="2" name="gender" queryTableFieldId="2" dataDxfId="2"/>
    <tableColumn id="3" xr3:uid="{ABA1CE08-35E3-4741-9E9D-DA65B1C17E25}" uniqueName="3" name="transactions" queryTableFieldId="3"/>
    <tableColumn id="4" xr3:uid="{85AEF736-3B43-41E7-B355-80578E3E7039}" uniqueName="4" name="revenue" queryTableFieldId="4"/>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862DB3BB-B336-4D2F-A6D0-1E43ABDAF688}" name="branch_performance" displayName="branch_performance" ref="A1:E4" tableType="queryTable" totalsRowShown="0">
  <autoFilter ref="A1:E4" xr:uid="{862DB3BB-B336-4D2F-A6D0-1E43ABDAF688}"/>
  <tableColumns count="5">
    <tableColumn id="1" xr3:uid="{100EDEE3-2C91-48C3-A5FB-0F387DC5821C}" uniqueName="1" name="branch" queryTableFieldId="1" dataDxfId="1"/>
    <tableColumn id="2" xr3:uid="{1A41CFFF-3432-4A9A-A220-B8925EA8B1DD}" uniqueName="2" name="city" queryTableFieldId="2" dataDxfId="0"/>
    <tableColumn id="3" xr3:uid="{06F609FC-CDE4-4DF6-8BD0-493B4671E0DF}" uniqueName="3" name="total_revenue" queryTableFieldId="3"/>
    <tableColumn id="4" xr3:uid="{F19DBC0E-C734-4603-BC4A-D7974EB748C0}" uniqueName="4" name="total_units_sold" queryTableFieldId="4"/>
    <tableColumn id="5" xr3:uid="{7D976FA7-2C0C-42DA-8D52-CDF939D42B82}" uniqueName="5" name="avg_rating" queryTableFieldId="5"/>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4.xml"/></Relationships>
</file>

<file path=xl/worksheets/_rels/sheet6.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4746EB-C607-47E0-9443-9AB26B59832A}">
  <dimension ref="A1:B4"/>
  <sheetViews>
    <sheetView workbookViewId="0">
      <selection sqref="A1:B4"/>
    </sheetView>
  </sheetViews>
  <sheetFormatPr defaultRowHeight="14.4" x14ac:dyDescent="0.3"/>
  <cols>
    <col min="1" max="1" width="14" bestFit="1" customWidth="1"/>
    <col min="2" max="2" width="10" bestFit="1" customWidth="1"/>
  </cols>
  <sheetData>
    <row r="1" spans="1:2" x14ac:dyDescent="0.3">
      <c r="A1" t="s">
        <v>34</v>
      </c>
      <c r="B1" t="s">
        <v>2</v>
      </c>
    </row>
    <row r="2" spans="1:2" x14ac:dyDescent="0.3">
      <c r="A2" t="s">
        <v>36</v>
      </c>
      <c r="B2">
        <v>116291.87</v>
      </c>
    </row>
    <row r="3" spans="1:2" x14ac:dyDescent="0.3">
      <c r="A3" t="s">
        <v>37</v>
      </c>
      <c r="B3">
        <v>95727.38</v>
      </c>
    </row>
    <row r="4" spans="1:2" x14ac:dyDescent="0.3">
      <c r="A4" t="s">
        <v>35</v>
      </c>
      <c r="B4">
        <v>108867.15</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DA94B2-0998-4551-BBC3-A535DBF330D6}">
  <dimension ref="A1"/>
  <sheetViews>
    <sheetView workbookViewId="0"/>
  </sheetViews>
  <sheetFormatPr defaultRowHeight="14.4" x14ac:dyDescent="0.3"/>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150498-B8DA-4EA4-B026-E2EB0E27D801}">
  <dimension ref="A1:D7"/>
  <sheetViews>
    <sheetView workbookViewId="0">
      <selection activeCell="A4" sqref="A4"/>
    </sheetView>
  </sheetViews>
  <sheetFormatPr defaultRowHeight="14.4" x14ac:dyDescent="0.3"/>
  <cols>
    <col min="1" max="1" width="19.44140625" bestFit="1" customWidth="1"/>
    <col min="2" max="2" width="11.6640625" bestFit="1" customWidth="1"/>
    <col min="3" max="3" width="9.77734375" bestFit="1" customWidth="1"/>
    <col min="4" max="4" width="11.5546875" bestFit="1" customWidth="1"/>
  </cols>
  <sheetData>
    <row r="1" spans="1:4" x14ac:dyDescent="0.3">
      <c r="A1" t="s">
        <v>0</v>
      </c>
      <c r="B1" t="s">
        <v>1</v>
      </c>
      <c r="C1" t="s">
        <v>2</v>
      </c>
      <c r="D1" t="s">
        <v>3</v>
      </c>
    </row>
    <row r="2" spans="1:4" x14ac:dyDescent="0.3">
      <c r="A2" t="s">
        <v>4</v>
      </c>
      <c r="B2">
        <v>952</v>
      </c>
      <c r="C2">
        <v>56144.84</v>
      </c>
      <c r="D2">
        <v>7.11</v>
      </c>
    </row>
    <row r="3" spans="1:4" x14ac:dyDescent="0.3">
      <c r="A3" t="s">
        <v>5</v>
      </c>
      <c r="B3">
        <v>844</v>
      </c>
      <c r="C3">
        <v>48854.38</v>
      </c>
      <c r="D3">
        <v>6.98</v>
      </c>
    </row>
    <row r="4" spans="1:4" x14ac:dyDescent="0.3">
      <c r="A4" t="s">
        <v>6</v>
      </c>
      <c r="B4">
        <v>902</v>
      </c>
      <c r="C4">
        <v>53936.13</v>
      </c>
      <c r="D4">
        <v>6.86</v>
      </c>
    </row>
    <row r="5" spans="1:4" x14ac:dyDescent="0.3">
      <c r="A5" t="s">
        <v>7</v>
      </c>
      <c r="B5">
        <v>902</v>
      </c>
      <c r="C5">
        <v>54305.9</v>
      </c>
      <c r="D5">
        <v>7.03</v>
      </c>
    </row>
    <row r="6" spans="1:4" x14ac:dyDescent="0.3">
      <c r="A6" t="s">
        <v>8</v>
      </c>
      <c r="B6">
        <v>911</v>
      </c>
      <c r="C6">
        <v>53861.91</v>
      </c>
      <c r="D6">
        <v>6.84</v>
      </c>
    </row>
    <row r="7" spans="1:4" x14ac:dyDescent="0.3">
      <c r="A7" t="s">
        <v>9</v>
      </c>
      <c r="B7">
        <v>961</v>
      </c>
      <c r="C7">
        <v>53783.24</v>
      </c>
      <c r="D7">
        <v>6.91</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57F179-541F-4D6C-A225-1CA86BE08EDC}">
  <dimension ref="A1:D5"/>
  <sheetViews>
    <sheetView workbookViewId="0">
      <selection activeCell="D4" sqref="D4"/>
    </sheetView>
  </sheetViews>
  <sheetFormatPr defaultRowHeight="14.4" x14ac:dyDescent="0.3"/>
  <cols>
    <col min="1" max="1" width="15.6640625" bestFit="1" customWidth="1"/>
    <col min="3" max="3" width="13.5546875" bestFit="1" customWidth="1"/>
    <col min="4" max="4" width="9.77734375" bestFit="1" customWidth="1"/>
  </cols>
  <sheetData>
    <row r="1" spans="1:4" x14ac:dyDescent="0.3">
      <c r="A1" t="s">
        <v>10</v>
      </c>
      <c r="B1" t="s">
        <v>11</v>
      </c>
      <c r="C1" t="s">
        <v>12</v>
      </c>
      <c r="D1" t="s">
        <v>2</v>
      </c>
    </row>
    <row r="2" spans="1:4" x14ac:dyDescent="0.3">
      <c r="A2" t="s">
        <v>13</v>
      </c>
      <c r="B2" t="s">
        <v>14</v>
      </c>
      <c r="C2">
        <v>258</v>
      </c>
      <c r="D2">
        <v>78418.97</v>
      </c>
    </row>
    <row r="3" spans="1:4" x14ac:dyDescent="0.3">
      <c r="A3" t="s">
        <v>15</v>
      </c>
      <c r="B3" t="s">
        <v>16</v>
      </c>
      <c r="C3">
        <v>259</v>
      </c>
      <c r="D3">
        <v>87548.6</v>
      </c>
    </row>
    <row r="4" spans="1:4" x14ac:dyDescent="0.3">
      <c r="A4" t="s">
        <v>15</v>
      </c>
      <c r="B4" t="s">
        <v>14</v>
      </c>
      <c r="C4">
        <v>240</v>
      </c>
      <c r="D4">
        <v>76076.5</v>
      </c>
    </row>
    <row r="5" spans="1:4" x14ac:dyDescent="0.3">
      <c r="A5" t="s">
        <v>13</v>
      </c>
      <c r="B5" t="s">
        <v>16</v>
      </c>
      <c r="C5">
        <v>238</v>
      </c>
      <c r="D5">
        <v>78842.33</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190887-0622-4EA1-9F5C-223D14D4E8A5}">
  <dimension ref="A1:E4"/>
  <sheetViews>
    <sheetView workbookViewId="0">
      <selection activeCell="B4" sqref="B4"/>
    </sheetView>
  </sheetViews>
  <sheetFormatPr defaultRowHeight="14.4" x14ac:dyDescent="0.3"/>
  <cols>
    <col min="1" max="1" width="9" bestFit="1" customWidth="1"/>
    <col min="2" max="2" width="9.21875" bestFit="1" customWidth="1"/>
    <col min="3" max="3" width="14.44140625" bestFit="1" customWidth="1"/>
    <col min="4" max="4" width="16.44140625" bestFit="1" customWidth="1"/>
    <col min="5" max="5" width="11.5546875" bestFit="1" customWidth="1"/>
  </cols>
  <sheetData>
    <row r="1" spans="1:5" x14ac:dyDescent="0.3">
      <c r="A1" t="s">
        <v>17</v>
      </c>
      <c r="B1" t="s">
        <v>18</v>
      </c>
      <c r="C1" t="s">
        <v>26</v>
      </c>
      <c r="D1" t="s">
        <v>19</v>
      </c>
      <c r="E1" t="s">
        <v>3</v>
      </c>
    </row>
    <row r="2" spans="1:5" x14ac:dyDescent="0.3">
      <c r="A2" t="s">
        <v>20</v>
      </c>
      <c r="B2" t="s">
        <v>21</v>
      </c>
      <c r="C2">
        <v>105861.01</v>
      </c>
      <c r="D2">
        <v>1849</v>
      </c>
      <c r="E2">
        <v>7.02</v>
      </c>
    </row>
    <row r="3" spans="1:5" x14ac:dyDescent="0.3">
      <c r="A3" t="s">
        <v>22</v>
      </c>
      <c r="B3" t="s">
        <v>23</v>
      </c>
      <c r="C3">
        <v>110490.78</v>
      </c>
      <c r="D3">
        <v>1828</v>
      </c>
      <c r="E3">
        <v>7.06</v>
      </c>
    </row>
    <row r="4" spans="1:5" x14ac:dyDescent="0.3">
      <c r="A4" t="s">
        <v>24</v>
      </c>
      <c r="B4" t="s">
        <v>25</v>
      </c>
      <c r="C4">
        <v>104534.61</v>
      </c>
      <c r="D4">
        <v>1795</v>
      </c>
      <c r="E4">
        <v>6.79</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C565AB-2892-425E-B79D-453307468AF6}">
  <dimension ref="B2:H8"/>
  <sheetViews>
    <sheetView showGridLines="0" tabSelected="1" zoomScale="90" zoomScaleNormal="90" workbookViewId="0">
      <selection activeCell="D25" sqref="D25"/>
    </sheetView>
  </sheetViews>
  <sheetFormatPr defaultRowHeight="14.4" x14ac:dyDescent="0.3"/>
  <cols>
    <col min="2" max="2" width="35.44140625" customWidth="1"/>
    <col min="4" max="4" width="29.6640625" customWidth="1"/>
    <col min="6" max="6" width="19.5546875" customWidth="1"/>
    <col min="8" max="8" width="33.33203125" customWidth="1"/>
  </cols>
  <sheetData>
    <row r="2" spans="2:8" ht="25.8" x14ac:dyDescent="0.5">
      <c r="B2" s="1" t="s">
        <v>27</v>
      </c>
    </row>
    <row r="3" spans="2:8" x14ac:dyDescent="0.3">
      <c r="B3" s="2" t="s">
        <v>28</v>
      </c>
    </row>
    <row r="5" spans="2:8" x14ac:dyDescent="0.3">
      <c r="B5" t="s">
        <v>29</v>
      </c>
      <c r="D5" t="s">
        <v>30</v>
      </c>
      <c r="F5" t="s">
        <v>31</v>
      </c>
      <c r="H5" t="s">
        <v>32</v>
      </c>
    </row>
    <row r="6" spans="2:8" ht="23.4" x14ac:dyDescent="0.45">
      <c r="B6" s="3">
        <f>SUM(product_performance[revenue])</f>
        <v>320886.40000000002</v>
      </c>
      <c r="D6" s="4">
        <f>SUM(product_performance[units_sold])</f>
        <v>5472</v>
      </c>
      <c r="F6" s="4">
        <f>ROUND(AVERAGE(product_performance[avg_rating]), 2)</f>
        <v>6.96</v>
      </c>
      <c r="H6" s="4" t="str">
        <f>INDEX(
 product_performance[product_line],
 MATCH(
   MAX(product_performance[revenue]),
   product_performance[revenue],
   0
 )
)</f>
        <v>Food and beverages</v>
      </c>
    </row>
    <row r="8" spans="2:8" x14ac:dyDescent="0.3">
      <c r="H8" t="s">
        <v>33</v>
      </c>
    </row>
  </sheetData>
  <pageMargins left="0.7" right="0.7" top="0.75" bottom="0.75" header="0.3" footer="0.3"/>
  <drawing r:id="rId1"/>
  <extLst>
    <ext xmlns:x15="http://schemas.microsoft.com/office/spreadsheetml/2010/11/main" uri="{3A4CF648-6AED-40f4-86FF-DC5316D8AED3}">
      <x14:slicerList xmlns:x14="http://schemas.microsoft.com/office/spreadsheetml/2009/9/main">
        <x14:slicer r:id="rId2"/>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D20A2D-4489-43BE-95EF-AEBAD8E2D53A}">
  <dimension ref="A1"/>
  <sheetViews>
    <sheetView workbookViewId="0"/>
  </sheetViews>
  <sheetFormatPr defaultRowHeight="14.4" x14ac:dyDescent="0.3"/>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F7B4FD-37A9-4DA1-9063-E557804179BB}">
  <dimension ref="A1"/>
  <sheetViews>
    <sheetView workbookViewId="0"/>
  </sheetViews>
  <sheetFormatPr defaultRowHeight="14.4" x14ac:dyDescent="0.3"/>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C44397-24E0-45FC-82B1-4C17EF9526D4}">
  <dimension ref="A1"/>
  <sheetViews>
    <sheetView workbookViewId="0"/>
  </sheetViews>
  <sheetFormatPr defaultRowHeight="14.4" x14ac:dyDescent="0.3"/>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FDB764-64AC-4FF9-89D0-234819695CE8}">
  <dimension ref="A1"/>
  <sheetViews>
    <sheetView workbookViewId="0"/>
  </sheetViews>
  <sheetFormatPr defaultRowHeight="14.4" x14ac:dyDescent="0.3"/>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
</file>

<file path=customXml/item2.xml><?xml version="1.0" encoding="utf-8"?>
<p:properties xmlns:p="http://schemas.microsoft.com/office/2006/metadata/properties" xmlns:xsi="http://www.w3.org/2001/XMLSchema-instance" xmlns:pc="http://schemas.microsoft.com/office/infopath/2007/PartnerControls">
  <documentManagement>
    <_activity xmlns="aa7d2bf7-c44f-425b-a776-397d97506b13"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ct:contentTypeSchema xmlns:ct="http://schemas.microsoft.com/office/2006/metadata/contentType" xmlns:ma="http://schemas.microsoft.com/office/2006/metadata/properties/metaAttributes" ct:_="" ma:_="" ma:contentTypeName="Document" ma:contentTypeID="0x0101002881B983AC21C246A1AD924065E0706D" ma:contentTypeVersion="10" ma:contentTypeDescription="Create a new document." ma:contentTypeScope="" ma:versionID="abcc34ce3cb0852ba6759c236567e4d0">
  <xsd:schema xmlns:xsd="http://www.w3.org/2001/XMLSchema" xmlns:xs="http://www.w3.org/2001/XMLSchema" xmlns:p="http://schemas.microsoft.com/office/2006/metadata/properties" xmlns:ns3="aa7d2bf7-c44f-425b-a776-397d97506b13" xmlns:ns4="5a9d3c0d-d1a7-491a-934f-25a9fdc6d72f" targetNamespace="http://schemas.microsoft.com/office/2006/metadata/properties" ma:root="true" ma:fieldsID="e97079e5f80e2240bbd54f2dd48c4386" ns3:_="" ns4:_="">
    <xsd:import namespace="aa7d2bf7-c44f-425b-a776-397d97506b13"/>
    <xsd:import namespace="5a9d3c0d-d1a7-491a-934f-25a9fdc6d72f"/>
    <xsd:element name="properties">
      <xsd:complexType>
        <xsd:sequence>
          <xsd:element name="documentManagement">
            <xsd:complexType>
              <xsd:all>
                <xsd:element ref="ns3:MediaServiceMetadata" minOccurs="0"/>
                <xsd:element ref="ns3:MediaServiceFastMetadata" minOccurs="0"/>
                <xsd:element ref="ns3:MediaServiceAutoKeyPoints" minOccurs="0"/>
                <xsd:element ref="ns3:MediaServiceKeyPoints" minOccurs="0"/>
                <xsd:element ref="ns4:SharedWithUsers" minOccurs="0"/>
                <xsd:element ref="ns4:SharedWithDetails" minOccurs="0"/>
                <xsd:element ref="ns4:SharingHintHash" minOccurs="0"/>
                <xsd:element ref="ns3:_activity" minOccurs="0"/>
                <xsd:element ref="ns3:MediaServiceObjectDetectorVersions" minOccurs="0"/>
                <xsd:element ref="ns3: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a7d2bf7-c44f-425b-a776-397d97506b1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_activity" ma:index="15" nillable="true" ma:displayName="_activity" ma:hidden="true" ma:internalName="_activity">
      <xsd:simpleType>
        <xsd:restriction base="dms:Note"/>
      </xsd:simpleType>
    </xsd:element>
    <xsd:element name="MediaServiceObjectDetectorVersions" ma:index="16" nillable="true" ma:displayName="MediaServiceObjectDetectorVersions" ma:hidden="true" ma:indexed="true" ma:internalName="MediaServiceObjectDetectorVersions" ma:readOnly="true">
      <xsd:simpleType>
        <xsd:restriction base="dms:Text"/>
      </xsd:simpleType>
    </xsd:element>
    <xsd:element name="MediaServiceSearchProperties" ma:index="17"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5a9d3c0d-d1a7-491a-934f-25a9fdc6d72f"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element name="SharingHintHash" ma:index="14" nillable="true" ma:displayName="Sharing Hint Hash"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137AAF7E-CF7C-45AF-AF22-A31B27D89378}">
  <ds:schemaRefs>
    <ds:schemaRef ds:uri="http://schemas.microsoft.com/DataMashup"/>
  </ds:schemaRefs>
</ds:datastoreItem>
</file>

<file path=customXml/itemProps2.xml><?xml version="1.0" encoding="utf-8"?>
<ds:datastoreItem xmlns:ds="http://schemas.openxmlformats.org/officeDocument/2006/customXml" ds:itemID="{092AC4FB-274D-4D0A-8D70-CE2D39089EA5}">
  <ds:schemaRefs>
    <ds:schemaRef ds:uri="http://purl.org/dc/elements/1.1/"/>
    <ds:schemaRef ds:uri="5a9d3c0d-d1a7-491a-934f-25a9fdc6d72f"/>
    <ds:schemaRef ds:uri="http://www.w3.org/XML/1998/namespace"/>
    <ds:schemaRef ds:uri="http://purl.org/dc/dcmitype/"/>
    <ds:schemaRef ds:uri="http://schemas.microsoft.com/office/2006/documentManagement/types"/>
    <ds:schemaRef ds:uri="http://schemas.microsoft.com/office/infopath/2007/PartnerControls"/>
    <ds:schemaRef ds:uri="http://purl.org/dc/terms/"/>
    <ds:schemaRef ds:uri="http://schemas.openxmlformats.org/package/2006/metadata/core-properties"/>
    <ds:schemaRef ds:uri="aa7d2bf7-c44f-425b-a776-397d97506b13"/>
    <ds:schemaRef ds:uri="http://schemas.microsoft.com/office/2006/metadata/properties"/>
  </ds:schemaRefs>
</ds:datastoreItem>
</file>

<file path=customXml/itemProps3.xml><?xml version="1.0" encoding="utf-8"?>
<ds:datastoreItem xmlns:ds="http://schemas.openxmlformats.org/officeDocument/2006/customXml" ds:itemID="{4724EF55-420E-4301-836C-9EC3A551464F}">
  <ds:schemaRefs>
    <ds:schemaRef ds:uri="http://schemas.microsoft.com/sharepoint/v3/contenttype/forms"/>
  </ds:schemaRefs>
</ds:datastoreItem>
</file>

<file path=customXml/itemProps4.xml><?xml version="1.0" encoding="utf-8"?>
<ds:datastoreItem xmlns:ds="http://schemas.openxmlformats.org/officeDocument/2006/customXml" ds:itemID="{21C51122-89B6-4C81-A69C-5E7774448C1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aa7d2bf7-c44f-425b-a776-397d97506b13"/>
    <ds:schemaRef ds:uri="5a9d3c0d-d1a7-491a-934f-25a9fdc6d72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monthly_revenue (2)</vt:lpstr>
      <vt:lpstr>Sheet1</vt:lpstr>
      <vt:lpstr>product_performance</vt:lpstr>
      <vt:lpstr>customer_insights</vt:lpstr>
      <vt:lpstr>branch_performance</vt:lpstr>
      <vt:lpstr>Dashboard_Overview</vt:lpstr>
      <vt:lpstr>Sheet3</vt:lpstr>
      <vt:lpstr>Sheet4</vt:lpstr>
      <vt:lpstr>Sheet5</vt:lpstr>
      <vt:lpstr>Sheet6</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Kadam Soham Mahesh</dc:creator>
  <cp:lastModifiedBy>Kadam Soham Mahesh</cp:lastModifiedBy>
  <dcterms:created xsi:type="dcterms:W3CDTF">2025-12-29T07:15:46Z</dcterms:created>
  <dcterms:modified xsi:type="dcterms:W3CDTF">2025-12-29T09:30:36Z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0x0101002881B983AC21C246A1AD924065E0706D</vt:lpwstr>
  </property>
</Properties>
</file>